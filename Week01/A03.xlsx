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9eac3f1da40131/Desktop/Laboratory/02. MCA/Semester01/Week01/"/>
    </mc:Choice>
  </mc:AlternateContent>
  <xr:revisionPtr revIDLastSave="9" documentId="8_{4042DAFE-0B51-4B17-A7AD-F8C964F425A2}" xr6:coauthVersionLast="47" xr6:coauthVersionMax="47" xr10:uidLastSave="{9D6553A4-32B1-4AA9-9D2E-A9176E5B2B7E}"/>
  <bookViews>
    <workbookView xWindow="-120" yWindow="-120" windowWidth="20730" windowHeight="11040" xr2:uid="{E2442380-399F-476A-938B-E3AD592BF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B9" i="1"/>
  <c r="B8" i="1"/>
  <c r="B13" i="1" l="1"/>
  <c r="D8" i="1"/>
  <c r="D13" i="1" s="1"/>
  <c r="B14" i="1" l="1"/>
</calcChain>
</file>

<file path=xl/sharedStrings.xml><?xml version="1.0" encoding="utf-8"?>
<sst xmlns="http://schemas.openxmlformats.org/spreadsheetml/2006/main" count="22" uniqueCount="21">
  <si>
    <t>SALARY ADVICE FOR MARCH 2016</t>
  </si>
  <si>
    <t>EMPLOYEE</t>
  </si>
  <si>
    <t>T MARONGO</t>
  </si>
  <si>
    <t xml:space="preserve">STAFF NO </t>
  </si>
  <si>
    <t>DATE</t>
  </si>
  <si>
    <t>NEXT PAY DATE</t>
  </si>
  <si>
    <t>BASIC SALARY p.a.</t>
  </si>
  <si>
    <t>INCOME</t>
  </si>
  <si>
    <t>AMOUNT</t>
  </si>
  <si>
    <t>DEDUCTIONS</t>
  </si>
  <si>
    <t>Basic Salary</t>
  </si>
  <si>
    <t>Pension @8%</t>
  </si>
  <si>
    <t>Housing Subsidy</t>
  </si>
  <si>
    <t>P.A.Y.E.</t>
  </si>
  <si>
    <t>Vehicle Allowance</t>
  </si>
  <si>
    <t>U.I.F.</t>
  </si>
  <si>
    <t xml:space="preserve">Medical Aid </t>
  </si>
  <si>
    <t>Bond Repayment</t>
  </si>
  <si>
    <t>Gross Income</t>
  </si>
  <si>
    <t>Total Deductions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</si>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</sst>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/>
    <xf numFmtId="15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D78A-B46B-4A08-942B-C2C5B985536A}">
  <dimension ref="A1:D14"/>
  <sheetViews>
    <sheetView tabSelected="1" zoomScale="62" zoomScaleNormal="100" workbookViewId="0">
      <selection activeCell="K9" sqref="K9"/>
    </sheetView>
  </sheetViews>
  <sheetFormatPr defaultRowHeight="15" x14ac:dyDescent="0.25"/>
  <cols>
    <col min="1" max="1" width="17.140625" customWidth="1"/>
    <col min="2" max="2" width="20.42578125" customWidth="1"/>
    <col min="3" max="3" width="20.140625" customWidth="1"/>
    <col min="4" max="4" width="18.85546875" customWidth="1"/>
  </cols>
  <sheetData>
    <row r="1" spans="1:4" ht="21" x14ac:dyDescent="0.35">
      <c r="A1" s="6" t="s">
        <v>0</v>
      </c>
      <c r="B1" s="7"/>
      <c r="C1" s="7"/>
      <c r="D1" s="8"/>
    </row>
    <row r="2" spans="1:4" ht="21" x14ac:dyDescent="0.35">
      <c r="A2" s="1" t="s">
        <v>1</v>
      </c>
      <c r="B2" s="1" t="s">
        <v>2</v>
      </c>
      <c r="C2" s="1"/>
      <c r="D2" s="1"/>
    </row>
    <row r="3" spans="1:4" ht="21" x14ac:dyDescent="0.35">
      <c r="A3" s="1" t="s">
        <v>3</v>
      </c>
      <c r="B3" s="1">
        <v>4</v>
      </c>
      <c r="C3" s="1"/>
      <c r="D3" s="1"/>
    </row>
    <row r="4" spans="1:4" ht="21" x14ac:dyDescent="0.35">
      <c r="A4" s="1" t="s">
        <v>4</v>
      </c>
      <c r="B4" s="2">
        <v>42460</v>
      </c>
      <c r="C4" s="1"/>
      <c r="D4" s="1"/>
    </row>
    <row r="5" spans="1:4" ht="21" x14ac:dyDescent="0.35">
      <c r="A5" s="1" t="s">
        <v>5</v>
      </c>
      <c r="B5" s="2">
        <v>42490</v>
      </c>
      <c r="C5" s="1"/>
      <c r="D5" s="1"/>
    </row>
    <row r="6" spans="1:4" ht="21" x14ac:dyDescent="0.35">
      <c r="A6" s="1" t="s">
        <v>6</v>
      </c>
      <c r="B6" s="3">
        <v>31200</v>
      </c>
      <c r="C6" s="1"/>
      <c r="D6" s="1"/>
    </row>
    <row r="7" spans="1:4" ht="21" x14ac:dyDescent="0.35">
      <c r="A7" s="4" t="s">
        <v>7</v>
      </c>
      <c r="B7" s="4" t="s">
        <v>8</v>
      </c>
      <c r="C7" s="4" t="s">
        <v>9</v>
      </c>
      <c r="D7" s="4" t="s">
        <v>8</v>
      </c>
    </row>
    <row r="8" spans="1:4" ht="21" x14ac:dyDescent="0.35">
      <c r="A8" s="1" t="s">
        <v>10</v>
      </c>
      <c r="B8" s="3">
        <f>B6/12</f>
        <v>2600</v>
      </c>
      <c r="C8" s="1" t="s">
        <v>11</v>
      </c>
      <c r="D8" s="3">
        <f>B8*(8/100)</f>
        <v>208</v>
      </c>
    </row>
    <row r="9" spans="1:4" ht="21" x14ac:dyDescent="0.35">
      <c r="A9" s="1" t="s">
        <v>12</v>
      </c>
      <c r="B9" s="5">
        <f>6000/12</f>
        <v>500</v>
      </c>
      <c r="C9" s="1" t="s">
        <v>13</v>
      </c>
      <c r="D9" s="5">
        <v>636.83000000000004</v>
      </c>
    </row>
    <row r="10" spans="1:4" ht="21" x14ac:dyDescent="0.35">
      <c r="A10" s="1" t="s">
        <v>14</v>
      </c>
      <c r="B10" s="5">
        <v>100</v>
      </c>
      <c r="C10" s="1" t="s">
        <v>15</v>
      </c>
      <c r="D10" s="5">
        <f>B8*(1/100)+B9</f>
        <v>526</v>
      </c>
    </row>
    <row r="11" spans="1:4" ht="21" x14ac:dyDescent="0.35">
      <c r="A11" s="1"/>
      <c r="B11" s="1"/>
      <c r="C11" s="1" t="s">
        <v>16</v>
      </c>
      <c r="D11" s="5">
        <v>70</v>
      </c>
    </row>
    <row r="12" spans="1:4" ht="21" x14ac:dyDescent="0.35">
      <c r="A12" s="1"/>
      <c r="B12" s="1"/>
      <c r="C12" s="1" t="s">
        <v>17</v>
      </c>
      <c r="D12" s="5">
        <v>630</v>
      </c>
    </row>
    <row r="13" spans="1:4" ht="21" x14ac:dyDescent="0.35">
      <c r="A13" s="1" t="s">
        <v>18</v>
      </c>
      <c r="B13" s="3">
        <f>B8+B9+B10</f>
        <v>3200</v>
      </c>
      <c r="C13" s="1" t="s">
        <v>19</v>
      </c>
      <c r="D13" s="3">
        <f>D8+D9+D10+D11+D12</f>
        <v>2070.83</v>
      </c>
    </row>
    <row r="14" spans="1:4" ht="21" x14ac:dyDescent="0.35">
      <c r="A14" s="1" t="s">
        <v>20</v>
      </c>
      <c r="B14" s="3">
        <f>B13-D13</f>
        <v>1129.17</v>
      </c>
      <c r="C14" s="1"/>
      <c r="D14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Sarwar</dc:creator>
  <cp:lastModifiedBy>Abdullah Sarwar</cp:lastModifiedBy>
  <dcterms:created xsi:type="dcterms:W3CDTF">2026-08-17T05:20:38Z</dcterms:created>
  <dcterms:modified xsi:type="dcterms:W3CDTF">2026-08-17T05:49:49Z</dcterms:modified>
</cp:coreProperties>
</file>